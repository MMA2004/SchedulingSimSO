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ocuments\SO\SchedulingSimSO\"/>
    </mc:Choice>
  </mc:AlternateContent>
  <xr:revisionPtr revIDLastSave="0" documentId="13_ncr:1_{D393F627-FCC4-4A20-8A6A-025AD7C83C4C}" xr6:coauthVersionLast="47" xr6:coauthVersionMax="47" xr10:uidLastSave="{00000000-0000-0000-0000-000000000000}"/>
  <bookViews>
    <workbookView xWindow="-120" yWindow="-120" windowWidth="38640" windowHeight="21120" xr2:uid="{11B297BD-CEE9-43C0-9F75-E94FA468A999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1" l="1"/>
  <c r="J49" i="1"/>
  <c r="I49" i="1"/>
  <c r="E49" i="1"/>
  <c r="L28" i="1"/>
  <c r="L29" i="1"/>
  <c r="L30" i="1"/>
  <c r="L31" i="1"/>
  <c r="L27" i="1"/>
  <c r="E32" i="1"/>
  <c r="K32" i="1"/>
  <c r="J32" i="1"/>
  <c r="I32" i="1"/>
  <c r="I15" i="1"/>
  <c r="I10" i="1"/>
  <c r="L15" i="1"/>
  <c r="K15" i="1"/>
  <c r="J15" i="1"/>
  <c r="E15" i="1"/>
  <c r="L49" i="1" l="1"/>
  <c r="L32" i="1"/>
</calcChain>
</file>

<file path=xl/sharedStrings.xml><?xml version="1.0" encoding="utf-8"?>
<sst xmlns="http://schemas.openxmlformats.org/spreadsheetml/2006/main" count="148" uniqueCount="74">
  <si>
    <t>Etiqueta</t>
  </si>
  <si>
    <t>BT</t>
  </si>
  <si>
    <t>AT</t>
  </si>
  <si>
    <t>Q</t>
  </si>
  <si>
    <t>PR</t>
  </si>
  <si>
    <t>A</t>
  </si>
  <si>
    <t>B</t>
  </si>
  <si>
    <t>C</t>
  </si>
  <si>
    <t>D</t>
  </si>
  <si>
    <t>E</t>
  </si>
  <si>
    <t>RR(1)</t>
  </si>
  <si>
    <t>RR(3)</t>
  </si>
  <si>
    <t>RR(4)</t>
  </si>
  <si>
    <t>SJF</t>
  </si>
  <si>
    <t>0-1</t>
  </si>
  <si>
    <t>1-2</t>
  </si>
  <si>
    <t>2-3</t>
  </si>
  <si>
    <t>3-4</t>
  </si>
  <si>
    <t>4-5</t>
  </si>
  <si>
    <t>5-8</t>
  </si>
  <si>
    <t>8-10</t>
  </si>
  <si>
    <t>10-13</t>
  </si>
  <si>
    <t>13-16</t>
  </si>
  <si>
    <t>16-19</t>
  </si>
  <si>
    <t>19-20</t>
  </si>
  <si>
    <t>WT</t>
  </si>
  <si>
    <t>CT</t>
  </si>
  <si>
    <t>RT</t>
  </si>
  <si>
    <t>TAT</t>
  </si>
  <si>
    <t>Promedios</t>
  </si>
  <si>
    <t>20-24</t>
  </si>
  <si>
    <t>24-26</t>
  </si>
  <si>
    <t>P1</t>
  </si>
  <si>
    <t>P2</t>
  </si>
  <si>
    <t>P3</t>
  </si>
  <si>
    <t>P4</t>
  </si>
  <si>
    <t>P5</t>
  </si>
  <si>
    <t>RR 2</t>
  </si>
  <si>
    <t>RR 3</t>
  </si>
  <si>
    <t>RR 4</t>
  </si>
  <si>
    <t>STCF</t>
  </si>
  <si>
    <t>0-2</t>
  </si>
  <si>
    <t>2-4</t>
  </si>
  <si>
    <t>4-6</t>
  </si>
  <si>
    <t>6-8</t>
  </si>
  <si>
    <t>19-21</t>
  </si>
  <si>
    <t>21-24</t>
  </si>
  <si>
    <t>26-27</t>
  </si>
  <si>
    <t>27-31</t>
  </si>
  <si>
    <t>31-32</t>
  </si>
  <si>
    <t>Q1</t>
  </si>
  <si>
    <t>Q2</t>
  </si>
  <si>
    <t>Q3</t>
  </si>
  <si>
    <t>Q4</t>
  </si>
  <si>
    <t>0-3</t>
  </si>
  <si>
    <t>3-6</t>
  </si>
  <si>
    <t>6-9</t>
  </si>
  <si>
    <t>9-12</t>
  </si>
  <si>
    <t>12-15</t>
  </si>
  <si>
    <t>15-20</t>
  </si>
  <si>
    <t>20-25</t>
  </si>
  <si>
    <t>25-30</t>
  </si>
  <si>
    <t>K</t>
  </si>
  <si>
    <t>L</t>
  </si>
  <si>
    <t>X</t>
  </si>
  <si>
    <t>Y</t>
  </si>
  <si>
    <t>Z</t>
  </si>
  <si>
    <t>30-35</t>
  </si>
  <si>
    <t>35-36</t>
  </si>
  <si>
    <t>36-37</t>
  </si>
  <si>
    <t>37-42</t>
  </si>
  <si>
    <t>42-45</t>
  </si>
  <si>
    <t>45-50</t>
  </si>
  <si>
    <t>50-54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</si>
</sst>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9" fontId="0" fillId="2" borderId="0" xfId="1" applyFont="1" applyFill="1" applyAlignment="1">
      <alignment horizontal="center"/>
    </xf>
    <xf numFmtId="0" fontId="0" fillId="0" borderId="0" xfId="0" applyFont="1" applyFill="1" applyBorder="1"/>
  </cellXfs>
  <cellStyles count="2">
    <cellStyle name="Normal" xfId="0" builtinId="0"/>
    <cellStyle name="Porcentaje" xfId="1" builtinId="5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9A0AF0-49BC-4BC9-8604-5495D86DB847}" name="Tabla1" displayName="Tabla1" ref="D9:L15" totalsRowShown="0">
  <autoFilter ref="D9:L15" xr:uid="{EF9A0AF0-49BC-4BC9-8604-5495D86DB847}"/>
  <tableColumns count="9">
    <tableColumn id="1" xr3:uid="{AF6F1070-451E-4F53-A9DE-F3EAE3629ACC}" name="Etiqueta"/>
    <tableColumn id="2" xr3:uid="{409D595B-851C-4951-9074-89DE6DCCB796}" name="BT"/>
    <tableColumn id="3" xr3:uid="{CDD6AA90-A20C-42A9-A11C-01B31338C78B}" name="AT"/>
    <tableColumn id="4" xr3:uid="{4CAE9473-2C7D-4991-A9DF-F94269CA43DB}" name="Q"/>
    <tableColumn id="5" xr3:uid="{60DB5986-4F47-4AB9-B357-B903E2067D7D}" name="PR"/>
    <tableColumn id="6" xr3:uid="{05D3CD1F-65B9-433A-9B27-FF81CEB8E7F8}" name="WT" dataDxfId="2">
      <calculatedColumnFormula>4+11</calculatedColumnFormula>
    </tableColumn>
    <tableColumn id="7" xr3:uid="{2FBF0539-86A4-418A-B71E-C57038920F5A}" name="CT"/>
    <tableColumn id="8" xr3:uid="{8665365F-07AE-45AF-B89E-225BC529701E}" name="RT"/>
    <tableColumn id="9" xr3:uid="{3655558C-D052-41BD-AD09-9D8026CE8E86}" name="TA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676CC3-3523-4E90-856A-6DCDFD4D632E}" name="Tabla13" displayName="Tabla13" ref="D26:L32" totalsRowShown="0">
  <autoFilter ref="D26:L32" xr:uid="{EB676CC3-3523-4E90-856A-6DCDFD4D632E}"/>
  <tableColumns count="9">
    <tableColumn id="1" xr3:uid="{A6B565B8-9B94-4F4B-B233-6994D24670B9}" name="Etiqueta"/>
    <tableColumn id="2" xr3:uid="{CF104D45-3C3D-4FC4-B5F0-E78A31B6EC0B}" name="BT"/>
    <tableColumn id="3" xr3:uid="{7A73770F-8B76-4DB0-BE8A-7BD51690F63E}" name="AT"/>
    <tableColumn id="4" xr3:uid="{EE8BE04A-CA58-47ED-8B7B-EA16674BFED6}" name="Q"/>
    <tableColumn id="5" xr3:uid="{E32FB483-1BE3-4D58-8FA7-57B6EE2045C7}" name="PR"/>
    <tableColumn id="6" xr3:uid="{5F6FAC81-092E-45E2-8ED6-622AE83E1BF8}" name="WT" dataDxfId="1">
      <calculatedColumnFormula>4+11</calculatedColumnFormula>
    </tableColumn>
    <tableColumn id="7" xr3:uid="{1308CF1D-E739-47B4-ACD0-5593B50FAE26}" name="CT"/>
    <tableColumn id="8" xr3:uid="{1D888F5A-680B-40DC-A733-8B020E4A418F}" name="RT"/>
    <tableColumn id="9" xr3:uid="{B87A6A09-DE1D-49EE-BE05-C8C9BE060C74}" name="TA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05F858-749A-415F-BDB8-73E05592B886}" name="Tabla134" displayName="Tabla134" ref="D43:L49" totalsRowShown="0">
  <autoFilter ref="D43:L49" xr:uid="{7B05F858-749A-415F-BDB8-73E05592B886}"/>
  <tableColumns count="9">
    <tableColumn id="1" xr3:uid="{C4D08DF5-44B4-4129-8B05-A2998620A23D}" name="Etiqueta"/>
    <tableColumn id="2" xr3:uid="{B62E7C8C-734D-4BD9-82A0-97F045936E1A}" name="BT"/>
    <tableColumn id="3" xr3:uid="{81EE1B97-5A7A-464D-9E6A-29007667E5BD}" name="AT"/>
    <tableColumn id="4" xr3:uid="{38FBF5E4-6D6A-4840-A65A-EE55F7C4A0C9}" name="Q"/>
    <tableColumn id="5" xr3:uid="{1764FD0B-C6E2-49E6-B6C9-AD91BFD81D97}" name="PR"/>
    <tableColumn id="6" xr3:uid="{ACDA8567-AAD4-425F-8E47-C3B7BC87AA76}" name="WT" dataDxfId="0">
      <calculatedColumnFormula>4+11</calculatedColumnFormula>
    </tableColumn>
    <tableColumn id="7" xr3:uid="{057B5C8B-0F1B-4CDF-A5D0-D2FA0FB23B06}" name="CT"/>
    <tableColumn id="8" xr3:uid="{CCB545F2-F1F1-46AB-8FC7-5A212531B1B7}" name="RT"/>
    <tableColumn id="9" xr3:uid="{011EB381-5992-4804-9722-06B352CB5970}" name="T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29FAC-A195-4841-80D5-60A01E804A01}">
  <dimension ref="B9:R55"/>
  <sheetViews>
    <sheetView tabSelected="1" topLeftCell="A37" zoomScale="80" zoomScaleNormal="80" workbookViewId="0">
      <selection activeCell="E55" sqref="E55"/>
    </sheetView>
  </sheetViews>
  <sheetFormatPr baseColWidth="10" defaultRowHeight="15" x14ac:dyDescent="0.25"/>
  <cols>
    <col min="5" max="5" width="11.7109375" bestFit="1" customWidth="1"/>
  </cols>
  <sheetData>
    <row r="9" spans="2:12" x14ac:dyDescent="0.25">
      <c r="D9" t="s">
        <v>0</v>
      </c>
      <c r="E9" t="s">
        <v>1</v>
      </c>
      <c r="F9" t="s">
        <v>2</v>
      </c>
      <c r="G9" t="s">
        <v>3</v>
      </c>
      <c r="H9" t="s">
        <v>4</v>
      </c>
      <c r="I9" t="s">
        <v>25</v>
      </c>
      <c r="J9" t="s">
        <v>26</v>
      </c>
      <c r="K9" t="s">
        <v>27</v>
      </c>
      <c r="L9" t="s">
        <v>28</v>
      </c>
    </row>
    <row r="10" spans="2:12" x14ac:dyDescent="0.25">
      <c r="B10" t="s">
        <v>10</v>
      </c>
      <c r="D10" t="s">
        <v>5</v>
      </c>
      <c r="E10">
        <v>5</v>
      </c>
      <c r="F10">
        <v>0</v>
      </c>
      <c r="G10">
        <v>1</v>
      </c>
      <c r="H10">
        <v>3</v>
      </c>
      <c r="I10">
        <f t="shared" ref="I10" si="0">4+11</f>
        <v>15</v>
      </c>
      <c r="J10">
        <v>20</v>
      </c>
      <c r="K10">
        <v>0</v>
      </c>
      <c r="L10">
        <v>20</v>
      </c>
    </row>
    <row r="11" spans="2:12" x14ac:dyDescent="0.25">
      <c r="B11" t="s">
        <v>11</v>
      </c>
      <c r="D11" t="s">
        <v>6</v>
      </c>
      <c r="E11">
        <v>3</v>
      </c>
      <c r="F11">
        <v>1</v>
      </c>
      <c r="G11">
        <v>1</v>
      </c>
      <c r="H11">
        <v>4</v>
      </c>
      <c r="I11">
        <v>6</v>
      </c>
      <c r="J11">
        <v>10</v>
      </c>
      <c r="K11">
        <v>1</v>
      </c>
      <c r="L11">
        <v>9</v>
      </c>
    </row>
    <row r="12" spans="2:12" x14ac:dyDescent="0.25">
      <c r="B12" t="s">
        <v>12</v>
      </c>
      <c r="D12" t="s">
        <v>7</v>
      </c>
      <c r="E12">
        <v>8</v>
      </c>
      <c r="F12">
        <v>2</v>
      </c>
      <c r="G12">
        <v>2</v>
      </c>
      <c r="H12">
        <v>2</v>
      </c>
      <c r="I12">
        <v>14</v>
      </c>
      <c r="J12">
        <v>24</v>
      </c>
      <c r="K12">
        <v>2</v>
      </c>
      <c r="L12">
        <v>22</v>
      </c>
    </row>
    <row r="13" spans="2:12" x14ac:dyDescent="0.25">
      <c r="B13" t="s">
        <v>13</v>
      </c>
      <c r="D13" t="s">
        <v>8</v>
      </c>
      <c r="E13">
        <v>6</v>
      </c>
      <c r="F13">
        <v>3</v>
      </c>
      <c r="G13">
        <v>2</v>
      </c>
      <c r="H13">
        <v>5</v>
      </c>
      <c r="I13">
        <v>17</v>
      </c>
      <c r="J13">
        <v>26</v>
      </c>
      <c r="K13">
        <v>3</v>
      </c>
      <c r="L13">
        <v>23</v>
      </c>
    </row>
    <row r="14" spans="2:12" x14ac:dyDescent="0.25">
      <c r="D14" t="s">
        <v>9</v>
      </c>
      <c r="E14">
        <v>4</v>
      </c>
      <c r="F14">
        <v>4</v>
      </c>
      <c r="G14">
        <v>3</v>
      </c>
      <c r="H14">
        <v>1</v>
      </c>
      <c r="I14">
        <v>11</v>
      </c>
      <c r="J14">
        <v>19</v>
      </c>
      <c r="K14">
        <v>4</v>
      </c>
      <c r="L14">
        <v>15</v>
      </c>
    </row>
    <row r="15" spans="2:12" x14ac:dyDescent="0.25">
      <c r="D15" t="s">
        <v>29</v>
      </c>
      <c r="E15">
        <f>(E10+E11+E12+E13+E14)</f>
        <v>26</v>
      </c>
      <c r="I15">
        <f>AVERAGE(I10:I14)</f>
        <v>12.6</v>
      </c>
      <c r="J15">
        <f>AVERAGE(J10:J14)</f>
        <v>19.8</v>
      </c>
      <c r="K15">
        <f>AVERAGE(K10:K14)</f>
        <v>2</v>
      </c>
      <c r="L15">
        <f>AVERAGE(L10:L14)</f>
        <v>17.8</v>
      </c>
    </row>
    <row r="17" spans="2:16" x14ac:dyDescent="0.25">
      <c r="D17" s="2" t="s">
        <v>50</v>
      </c>
      <c r="E17" s="2"/>
      <c r="F17" s="2"/>
      <c r="G17" s="2"/>
      <c r="H17" s="2"/>
      <c r="I17" s="3" t="s">
        <v>51</v>
      </c>
      <c r="J17" s="3"/>
      <c r="K17" s="3"/>
      <c r="L17" s="3"/>
      <c r="M17" s="3"/>
      <c r="N17" s="6" t="s">
        <v>52</v>
      </c>
      <c r="O17" s="6"/>
      <c r="P17" s="6"/>
    </row>
    <row r="18" spans="2:16" x14ac:dyDescent="0.25">
      <c r="D18" t="s">
        <v>5</v>
      </c>
      <c r="E18" t="s">
        <v>6</v>
      </c>
      <c r="F18" t="s">
        <v>7</v>
      </c>
      <c r="G18" t="s">
        <v>8</v>
      </c>
      <c r="H18" t="s">
        <v>9</v>
      </c>
      <c r="I18" t="s">
        <v>5</v>
      </c>
      <c r="J18" t="s">
        <v>6</v>
      </c>
      <c r="K18" t="s">
        <v>7</v>
      </c>
      <c r="L18" t="s">
        <v>8</v>
      </c>
      <c r="M18" t="s">
        <v>9</v>
      </c>
      <c r="N18" t="s">
        <v>5</v>
      </c>
      <c r="O18" t="s">
        <v>7</v>
      </c>
      <c r="P18" t="s">
        <v>8</v>
      </c>
    </row>
    <row r="19" spans="2:16" x14ac:dyDescent="0.25">
      <c r="D19" s="1" t="s">
        <v>14</v>
      </c>
      <c r="E19" s="1" t="s">
        <v>15</v>
      </c>
      <c r="F19" s="1" t="s">
        <v>16</v>
      </c>
      <c r="G19" s="1" t="s">
        <v>17</v>
      </c>
      <c r="H19" s="1" t="s">
        <v>18</v>
      </c>
      <c r="I19" s="1" t="s">
        <v>19</v>
      </c>
      <c r="J19" s="1" t="s">
        <v>20</v>
      </c>
      <c r="K19" s="1" t="s">
        <v>21</v>
      </c>
      <c r="L19" s="1" t="s">
        <v>22</v>
      </c>
      <c r="M19" s="1" t="s">
        <v>23</v>
      </c>
      <c r="N19" t="s">
        <v>24</v>
      </c>
      <c r="O19" t="s">
        <v>30</v>
      </c>
      <c r="P19" t="s">
        <v>31</v>
      </c>
    </row>
    <row r="26" spans="2:16" x14ac:dyDescent="0.25">
      <c r="D26" t="s">
        <v>0</v>
      </c>
      <c r="E26" t="s">
        <v>1</v>
      </c>
      <c r="F26" t="s">
        <v>2</v>
      </c>
      <c r="G26" t="s">
        <v>3</v>
      </c>
      <c r="H26" t="s">
        <v>4</v>
      </c>
      <c r="I26" t="s">
        <v>25</v>
      </c>
      <c r="J26" t="s">
        <v>26</v>
      </c>
      <c r="K26" t="s">
        <v>27</v>
      </c>
      <c r="L26" t="s">
        <v>28</v>
      </c>
    </row>
    <row r="27" spans="2:16" x14ac:dyDescent="0.25">
      <c r="B27" t="s">
        <v>37</v>
      </c>
      <c r="D27" t="s">
        <v>32</v>
      </c>
      <c r="E27">
        <v>7</v>
      </c>
      <c r="F27">
        <v>0</v>
      </c>
      <c r="G27">
        <v>1</v>
      </c>
      <c r="H27">
        <v>3</v>
      </c>
      <c r="I27">
        <v>19</v>
      </c>
      <c r="J27">
        <v>26</v>
      </c>
      <c r="K27">
        <v>0</v>
      </c>
      <c r="L27">
        <f>Tabla13[[#This Row],[CT]]-Tabla13[[#This Row],[AT]]</f>
        <v>26</v>
      </c>
    </row>
    <row r="28" spans="2:16" x14ac:dyDescent="0.25">
      <c r="B28" t="s">
        <v>38</v>
      </c>
      <c r="D28" t="s">
        <v>33</v>
      </c>
      <c r="E28">
        <v>4</v>
      </c>
      <c r="F28">
        <v>5</v>
      </c>
      <c r="G28">
        <v>1</v>
      </c>
      <c r="H28">
        <v>5</v>
      </c>
      <c r="I28">
        <v>12</v>
      </c>
      <c r="J28">
        <v>21</v>
      </c>
      <c r="K28">
        <v>6</v>
      </c>
      <c r="L28">
        <f>Tabla13[[#This Row],[CT]]-Tabla13[[#This Row],[AT]]</f>
        <v>16</v>
      </c>
    </row>
    <row r="29" spans="2:16" x14ac:dyDescent="0.25">
      <c r="B29" t="s">
        <v>39</v>
      </c>
      <c r="D29" t="s">
        <v>34</v>
      </c>
      <c r="E29">
        <v>10</v>
      </c>
      <c r="F29">
        <v>4</v>
      </c>
      <c r="G29">
        <v>2</v>
      </c>
      <c r="H29">
        <v>2</v>
      </c>
      <c r="I29">
        <v>18</v>
      </c>
      <c r="J29">
        <v>32</v>
      </c>
      <c r="K29">
        <v>4</v>
      </c>
      <c r="L29">
        <f>Tabla13[[#This Row],[CT]]-Tabla13[[#This Row],[AT]]</f>
        <v>28</v>
      </c>
    </row>
    <row r="30" spans="2:16" x14ac:dyDescent="0.25">
      <c r="B30" t="s">
        <v>40</v>
      </c>
      <c r="D30" t="s">
        <v>35</v>
      </c>
      <c r="E30">
        <v>5</v>
      </c>
      <c r="F30">
        <v>5</v>
      </c>
      <c r="G30">
        <v>2</v>
      </c>
      <c r="H30">
        <v>4</v>
      </c>
      <c r="I30">
        <v>14</v>
      </c>
      <c r="J30">
        <v>24</v>
      </c>
      <c r="K30">
        <v>8</v>
      </c>
      <c r="L30">
        <f>Tabla13[[#This Row],[CT]]-Tabla13[[#This Row],[AT]]</f>
        <v>19</v>
      </c>
    </row>
    <row r="31" spans="2:16" x14ac:dyDescent="0.25">
      <c r="D31" t="s">
        <v>36</v>
      </c>
      <c r="E31">
        <v>6</v>
      </c>
      <c r="F31">
        <v>1</v>
      </c>
      <c r="G31">
        <v>3</v>
      </c>
      <c r="H31">
        <v>1</v>
      </c>
      <c r="I31">
        <v>20</v>
      </c>
      <c r="J31">
        <v>27</v>
      </c>
      <c r="K31">
        <v>2</v>
      </c>
      <c r="L31">
        <f>Tabla13[[#This Row],[CT]]-Tabla13[[#This Row],[AT]]</f>
        <v>26</v>
      </c>
    </row>
    <row r="32" spans="2:16" x14ac:dyDescent="0.25">
      <c r="D32" t="s">
        <v>29</v>
      </c>
      <c r="E32">
        <f>(E27+E28+E29+E30+E31)</f>
        <v>32</v>
      </c>
      <c r="I32">
        <f>AVERAGE(I27:I31)</f>
        <v>16.600000000000001</v>
      </c>
      <c r="J32">
        <f>AVERAGE(J27:J31)</f>
        <v>26</v>
      </c>
      <c r="K32">
        <f>AVERAGE(K27:K31)</f>
        <v>4</v>
      </c>
      <c r="L32">
        <f>AVERAGE(L27:L31)</f>
        <v>23</v>
      </c>
    </row>
    <row r="34" spans="2:17" x14ac:dyDescent="0.25">
      <c r="D34" s="2" t="s">
        <v>50</v>
      </c>
      <c r="E34" s="2"/>
      <c r="F34" s="2"/>
      <c r="G34" s="2"/>
      <c r="H34" s="2"/>
      <c r="I34" s="3" t="s">
        <v>51</v>
      </c>
      <c r="J34" s="3"/>
      <c r="K34" s="3"/>
      <c r="L34" s="3"/>
      <c r="M34" s="3"/>
      <c r="N34" s="4" t="s">
        <v>52</v>
      </c>
      <c r="O34" s="4"/>
      <c r="P34" s="4"/>
      <c r="Q34" s="5" t="s">
        <v>53</v>
      </c>
    </row>
    <row r="35" spans="2:17" x14ac:dyDescent="0.25">
      <c r="D35" t="s">
        <v>32</v>
      </c>
      <c r="E35" t="s">
        <v>36</v>
      </c>
      <c r="F35" t="s">
        <v>34</v>
      </c>
      <c r="G35" t="s">
        <v>33</v>
      </c>
      <c r="H35" t="s">
        <v>35</v>
      </c>
      <c r="I35" t="s">
        <v>32</v>
      </c>
      <c r="J35" t="s">
        <v>36</v>
      </c>
      <c r="K35" t="s">
        <v>34</v>
      </c>
      <c r="L35" t="s">
        <v>33</v>
      </c>
      <c r="M35" t="s">
        <v>35</v>
      </c>
      <c r="N35" t="s">
        <v>32</v>
      </c>
      <c r="O35" t="s">
        <v>36</v>
      </c>
      <c r="P35" t="s">
        <v>34</v>
      </c>
      <c r="Q35" t="s">
        <v>34</v>
      </c>
    </row>
    <row r="36" spans="2:17" x14ac:dyDescent="0.25">
      <c r="D36" t="s">
        <v>41</v>
      </c>
      <c r="E36" s="1" t="s">
        <v>42</v>
      </c>
      <c r="F36" s="1" t="s">
        <v>43</v>
      </c>
      <c r="G36" s="1" t="s">
        <v>44</v>
      </c>
      <c r="H36" s="1" t="s">
        <v>20</v>
      </c>
      <c r="I36" s="1" t="s">
        <v>21</v>
      </c>
      <c r="J36" s="1" t="s">
        <v>22</v>
      </c>
      <c r="K36" s="1" t="s">
        <v>23</v>
      </c>
      <c r="L36" s="1" t="s">
        <v>45</v>
      </c>
      <c r="M36" t="s">
        <v>46</v>
      </c>
      <c r="N36" t="s">
        <v>31</v>
      </c>
      <c r="O36" t="s">
        <v>47</v>
      </c>
      <c r="P36" t="s">
        <v>48</v>
      </c>
      <c r="Q36" t="s">
        <v>49</v>
      </c>
    </row>
    <row r="43" spans="2:17" x14ac:dyDescent="0.25">
      <c r="B43">
        <v>3</v>
      </c>
      <c r="D43" t="s">
        <v>0</v>
      </c>
      <c r="E43" t="s">
        <v>1</v>
      </c>
      <c r="F43" t="s">
        <v>2</v>
      </c>
      <c r="G43" t="s">
        <v>3</v>
      </c>
      <c r="H43" t="s">
        <v>4</v>
      </c>
      <c r="I43" t="s">
        <v>25</v>
      </c>
      <c r="J43" t="s">
        <v>26</v>
      </c>
      <c r="K43" t="s">
        <v>27</v>
      </c>
      <c r="L43" t="s">
        <v>28</v>
      </c>
    </row>
    <row r="44" spans="2:17" x14ac:dyDescent="0.25">
      <c r="B44">
        <v>5</v>
      </c>
      <c r="D44" t="s">
        <v>62</v>
      </c>
      <c r="E44">
        <v>9</v>
      </c>
      <c r="F44">
        <v>0</v>
      </c>
      <c r="G44">
        <v>2</v>
      </c>
      <c r="H44">
        <v>5</v>
      </c>
      <c r="I44">
        <v>28</v>
      </c>
      <c r="J44">
        <v>37</v>
      </c>
      <c r="K44">
        <v>0</v>
      </c>
      <c r="L44">
        <v>37</v>
      </c>
    </row>
    <row r="45" spans="2:17" x14ac:dyDescent="0.25">
      <c r="B45">
        <v>6</v>
      </c>
      <c r="D45" t="s">
        <v>63</v>
      </c>
      <c r="E45">
        <v>13</v>
      </c>
      <c r="F45">
        <v>0</v>
      </c>
      <c r="G45">
        <v>3</v>
      </c>
      <c r="H45">
        <v>4</v>
      </c>
      <c r="I45">
        <v>29</v>
      </c>
      <c r="J45">
        <v>42</v>
      </c>
      <c r="K45">
        <v>3</v>
      </c>
      <c r="L45">
        <v>42</v>
      </c>
    </row>
    <row r="46" spans="2:17" x14ac:dyDescent="0.25">
      <c r="B46">
        <v>20</v>
      </c>
      <c r="D46" t="s">
        <v>64</v>
      </c>
      <c r="E46">
        <v>11</v>
      </c>
      <c r="F46">
        <v>0</v>
      </c>
      <c r="G46">
        <v>1</v>
      </c>
      <c r="H46">
        <v>3</v>
      </c>
      <c r="I46">
        <v>34</v>
      </c>
      <c r="J46">
        <v>45</v>
      </c>
      <c r="K46">
        <v>6</v>
      </c>
      <c r="L46">
        <v>45</v>
      </c>
    </row>
    <row r="47" spans="2:17" x14ac:dyDescent="0.25">
      <c r="D47" t="s">
        <v>65</v>
      </c>
      <c r="E47">
        <v>17</v>
      </c>
      <c r="F47">
        <v>0</v>
      </c>
      <c r="G47">
        <v>2</v>
      </c>
      <c r="H47">
        <v>2</v>
      </c>
      <c r="I47">
        <v>37</v>
      </c>
      <c r="J47">
        <v>54</v>
      </c>
      <c r="K47">
        <v>9</v>
      </c>
      <c r="L47">
        <v>54</v>
      </c>
    </row>
    <row r="48" spans="2:17" x14ac:dyDescent="0.25">
      <c r="D48" t="s">
        <v>66</v>
      </c>
      <c r="E48">
        <v>4</v>
      </c>
      <c r="F48">
        <v>0</v>
      </c>
      <c r="G48">
        <v>3</v>
      </c>
      <c r="H48">
        <v>1</v>
      </c>
      <c r="I48">
        <v>32</v>
      </c>
      <c r="J48">
        <v>36</v>
      </c>
      <c r="K48">
        <v>12</v>
      </c>
      <c r="L48">
        <v>36</v>
      </c>
    </row>
    <row r="49" spans="2:18" x14ac:dyDescent="0.25">
      <c r="D49" t="s">
        <v>29</v>
      </c>
      <c r="E49">
        <f>(E44+E45+E46+E47+E48)</f>
        <v>54</v>
      </c>
      <c r="I49">
        <f>AVERAGE(I44:I48)</f>
        <v>32</v>
      </c>
      <c r="J49">
        <f>AVERAGE(J44:J48)</f>
        <v>42.8</v>
      </c>
      <c r="K49">
        <f>AVERAGE(K44:K48)</f>
        <v>6</v>
      </c>
      <c r="L49">
        <f>AVERAGE(L44:L48)</f>
        <v>42.8</v>
      </c>
    </row>
    <row r="51" spans="2:18" x14ac:dyDescent="0.25">
      <c r="B51" s="8"/>
      <c r="C51" s="8"/>
      <c r="D51" s="7" t="s">
        <v>50</v>
      </c>
      <c r="E51" s="7"/>
      <c r="F51" s="7"/>
      <c r="G51" s="7"/>
      <c r="H51" s="7"/>
      <c r="I51" s="3" t="s">
        <v>51</v>
      </c>
      <c r="J51" s="3"/>
      <c r="K51" s="3"/>
      <c r="L51" s="3"/>
      <c r="M51" s="3"/>
      <c r="N51" s="4" t="s">
        <v>52</v>
      </c>
      <c r="O51" s="4"/>
      <c r="P51" s="4"/>
      <c r="Q51" s="4"/>
      <c r="R51" s="5" t="s">
        <v>53</v>
      </c>
    </row>
    <row r="52" spans="2:18" x14ac:dyDescent="0.25">
      <c r="B52" s="8"/>
      <c r="C52" s="8"/>
      <c r="D52" t="s">
        <v>32</v>
      </c>
      <c r="E52" t="s">
        <v>33</v>
      </c>
      <c r="F52" t="s">
        <v>34</v>
      </c>
      <c r="G52" t="s">
        <v>35</v>
      </c>
      <c r="H52" t="s">
        <v>36</v>
      </c>
      <c r="I52" t="s">
        <v>32</v>
      </c>
      <c r="J52" t="s">
        <v>33</v>
      </c>
      <c r="K52" t="s">
        <v>34</v>
      </c>
      <c r="L52" t="s">
        <v>35</v>
      </c>
      <c r="M52" t="s">
        <v>36</v>
      </c>
      <c r="N52" t="s">
        <v>32</v>
      </c>
      <c r="O52" t="s">
        <v>33</v>
      </c>
      <c r="P52" t="s">
        <v>34</v>
      </c>
      <c r="Q52" t="s">
        <v>35</v>
      </c>
      <c r="R52" t="s">
        <v>35</v>
      </c>
    </row>
    <row r="53" spans="2:18" x14ac:dyDescent="0.25">
      <c r="B53" s="8"/>
      <c r="C53" s="8"/>
      <c r="D53" t="s">
        <v>54</v>
      </c>
      <c r="E53" s="1" t="s">
        <v>55</v>
      </c>
      <c r="F53" s="1" t="s">
        <v>56</v>
      </c>
      <c r="G53" s="1" t="s">
        <v>57</v>
      </c>
      <c r="H53" s="1" t="s">
        <v>58</v>
      </c>
      <c r="I53" s="1" t="s">
        <v>59</v>
      </c>
      <c r="J53" s="1" t="s">
        <v>60</v>
      </c>
      <c r="K53" s="1" t="s">
        <v>61</v>
      </c>
      <c r="L53" s="1" t="s">
        <v>67</v>
      </c>
      <c r="M53" s="1" t="s">
        <v>68</v>
      </c>
      <c r="N53" s="1" t="s">
        <v>69</v>
      </c>
      <c r="O53" s="1" t="s">
        <v>70</v>
      </c>
      <c r="P53" s="1" t="s">
        <v>71</v>
      </c>
      <c r="Q53" s="1" t="s">
        <v>72</v>
      </c>
      <c r="R53" s="1" t="s">
        <v>73</v>
      </c>
    </row>
    <row r="54" spans="2:18" x14ac:dyDescent="0.25">
      <c r="B54" s="8"/>
      <c r="C54" s="8"/>
    </row>
    <row r="55" spans="2:18" x14ac:dyDescent="0.25">
      <c r="B55" s="8"/>
      <c r="C55" s="8"/>
    </row>
  </sheetData>
  <mergeCells count="9">
    <mergeCell ref="D51:H51"/>
    <mergeCell ref="I51:M51"/>
    <mergeCell ref="N51:Q51"/>
    <mergeCell ref="D34:H34"/>
    <mergeCell ref="N34:P34"/>
    <mergeCell ref="D17:H17"/>
    <mergeCell ref="I17:M17"/>
    <mergeCell ref="N17:P17"/>
    <mergeCell ref="I34:M34"/>
  </mergeCells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626B-6E33-4591-9263-27B922B62CFC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MONROY ARISTIZABAL</dc:creator>
  <cp:lastModifiedBy>MATEO MONROY ARISTIZABAL</cp:lastModifiedBy>
  <dcterms:created xsi:type="dcterms:W3CDTF">2026-03-20T22:28:43Z</dcterms:created>
  <dcterms:modified xsi:type="dcterms:W3CDTF">2026-03-21T00:56:21Z</dcterms:modified>
</cp:coreProperties>
</file>
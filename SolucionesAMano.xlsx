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SO\SchedulingSimSO\"/>
    </mc:Choice>
  </mc:AlternateContent>
  <xr:revisionPtr revIDLastSave="0" documentId="8_{453F1BDA-A594-4261-BD65-FF98B9BBDCB0}" xr6:coauthVersionLast="47" xr6:coauthVersionMax="47" xr10:uidLastSave="{00000000-0000-0000-0000-000000000000}"/>
  <bookViews>
    <workbookView xWindow="-120" yWindow="-120" windowWidth="38640" windowHeight="21120" xr2:uid="{11B297BD-CEE9-43C0-9F75-E94FA468A9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9" i="1"/>
  <c r="L30" i="1"/>
  <c r="L31" i="1"/>
  <c r="L27" i="1"/>
  <c r="E32" i="1"/>
  <c r="K32" i="1"/>
  <c r="J32" i="1"/>
  <c r="I32" i="1"/>
  <c r="I15" i="1"/>
  <c r="I10" i="1"/>
  <c r="L15" i="1"/>
  <c r="K15" i="1"/>
  <c r="J15" i="1"/>
  <c r="E15" i="1"/>
  <c r="L32" i="1" l="1"/>
</calcChain>
</file>

<file path=xl/sharedStrings.xml><?xml version="1.0" encoding="utf-8"?>
<sst xmlns="http://schemas.openxmlformats.org/spreadsheetml/2006/main" count="102" uniqueCount="56">
  <si>
    <t>Etiqueta</t>
  </si>
  <si>
    <t>BT</t>
  </si>
  <si>
    <t>AT</t>
  </si>
  <si>
    <t>Q</t>
  </si>
  <si>
    <t>PR</t>
  </si>
  <si>
    <t>A</t>
  </si>
  <si>
    <t>B</t>
  </si>
  <si>
    <t>C</t>
  </si>
  <si>
    <t>D</t>
  </si>
  <si>
    <t>E</t>
  </si>
  <si>
    <t>RR(1)</t>
  </si>
  <si>
    <t>RR(3)</t>
  </si>
  <si>
    <t>RR(4)</t>
  </si>
  <si>
    <t>SJF</t>
  </si>
  <si>
    <t>0-1</t>
  </si>
  <si>
    <t>1-2</t>
  </si>
  <si>
    <t>2-3</t>
  </si>
  <si>
    <t>3-4</t>
  </si>
  <si>
    <t>4-5</t>
  </si>
  <si>
    <t>5-8</t>
  </si>
  <si>
    <t>8-10</t>
  </si>
  <si>
    <t>10-13</t>
  </si>
  <si>
    <t>13-16</t>
  </si>
  <si>
    <t>16-19</t>
  </si>
  <si>
    <t>19-20</t>
  </si>
  <si>
    <t>WT</t>
  </si>
  <si>
    <t>CT</t>
  </si>
  <si>
    <t>RT</t>
  </si>
  <si>
    <t>TAT</t>
  </si>
  <si>
    <t>Promedios</t>
  </si>
  <si>
    <t>20-24</t>
  </si>
  <si>
    <t>24-26</t>
  </si>
  <si>
    <t>P1</t>
  </si>
  <si>
    <t>P2</t>
  </si>
  <si>
    <t>P3</t>
  </si>
  <si>
    <t>P4</t>
  </si>
  <si>
    <t>P5</t>
  </si>
  <si>
    <t>RR 2</t>
  </si>
  <si>
    <t>RR 3</t>
  </si>
  <si>
    <t>RR 4</t>
  </si>
  <si>
    <t>STCF</t>
  </si>
  <si>
    <t>0-2</t>
  </si>
  <si>
    <t>2-4</t>
  </si>
  <si>
    <t>4-6</t>
  </si>
  <si>
    <t>6-8</t>
  </si>
  <si>
    <t>19-21</t>
  </si>
  <si>
    <t>21-24</t>
  </si>
  <si>
    <t>26-27</t>
  </si>
  <si>
    <t>27-31</t>
  </si>
  <si>
    <t>31-32</t>
  </si>
  <si>
    <t>.\SchedulingSimSO.exe ejem1.txt MLFQ 4 1 3 4 SJF</t>
  </si>
  <si>
    <t>.\SchedulingSimSO.exe ejem2.txt MLFQ 4 2 3 4 PSJF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</si>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</sst>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0" borderId="0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A0AF0-49BC-4BC9-8604-5495D86DB847}" name="Tabla1" displayName="Tabla1" ref="D9:L15" totalsRowShown="0">
  <autoFilter ref="D9:L15" xr:uid="{EF9A0AF0-49BC-4BC9-8604-5495D86DB847}"/>
  <tableColumns count="9">
    <tableColumn id="1" xr3:uid="{AF6F1070-451E-4F53-A9DE-F3EAE3629ACC}" name="Etiqueta"/>
    <tableColumn id="2" xr3:uid="{409D595B-851C-4951-9074-89DE6DCCB796}" name="BT"/>
    <tableColumn id="3" xr3:uid="{CDD6AA90-A20C-42A9-A11C-01B31338C78B}" name="AT"/>
    <tableColumn id="4" xr3:uid="{4CAE9473-2C7D-4991-A9DF-F94269CA43DB}" name="Q"/>
    <tableColumn id="5" xr3:uid="{60DB5986-4F47-4AB9-B357-B903E2067D7D}" name="PR"/>
    <tableColumn id="6" xr3:uid="{05D3CD1F-65B9-433A-9B27-FF81CEB8E7F8}" name="WT" dataDxfId="1">
      <calculatedColumnFormula>4+11</calculatedColumnFormula>
    </tableColumn>
    <tableColumn id="7" xr3:uid="{2FBF0539-86A4-418A-B71E-C57038920F5A}" name="CT"/>
    <tableColumn id="8" xr3:uid="{8665365F-07AE-45AF-B89E-225BC529701E}" name="RT"/>
    <tableColumn id="9" xr3:uid="{3655558C-D052-41BD-AD09-9D8026CE8E86}" name="T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676CC3-3523-4E90-856A-6DCDFD4D632E}" name="Tabla13" displayName="Tabla13" ref="D26:L32" totalsRowShown="0">
  <autoFilter ref="D26:L32" xr:uid="{EB676CC3-3523-4E90-856A-6DCDFD4D632E}"/>
  <tableColumns count="9">
    <tableColumn id="1" xr3:uid="{A6B565B8-9B94-4F4B-B233-6994D24670B9}" name="Etiqueta"/>
    <tableColumn id="2" xr3:uid="{CF104D45-3C3D-4FC4-B5F0-E78A31B6EC0B}" name="BT"/>
    <tableColumn id="3" xr3:uid="{7A73770F-8B76-4DB0-BE8A-7BD51690F63E}" name="AT"/>
    <tableColumn id="4" xr3:uid="{EE8BE04A-CA58-47ED-8B7B-EA16674BFED6}" name="Q"/>
    <tableColumn id="5" xr3:uid="{E32FB483-1BE3-4D58-8FA7-57B6EE2045C7}" name="PR"/>
    <tableColumn id="6" xr3:uid="{5F6FAC81-092E-45E2-8ED6-622AE83E1BF8}" name="WT" dataDxfId="0">
      <calculatedColumnFormula>4+11</calculatedColumnFormula>
    </tableColumn>
    <tableColumn id="7" xr3:uid="{1308CF1D-E739-47B4-ACD0-5593B50FAE26}" name="CT"/>
    <tableColumn id="8" xr3:uid="{1D888F5A-680B-40DC-A733-8B020E4A418F}" name="RT"/>
    <tableColumn id="9" xr3:uid="{B87A6A09-DE1D-49EE-BE05-C8C9BE060C74}" name="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9FAC-A195-4841-80D5-60A01E804A01}">
  <dimension ref="B7:M44"/>
  <sheetViews>
    <sheetView tabSelected="1" zoomScale="130" zoomScaleNormal="130" workbookViewId="0">
      <selection activeCell="N48" sqref="N48"/>
    </sheetView>
  </sheetViews>
  <sheetFormatPr baseColWidth="10" defaultRowHeight="15" x14ac:dyDescent="0.25"/>
  <cols>
    <col min="5" max="5" width="11.7109375" bestFit="1" customWidth="1"/>
  </cols>
  <sheetData>
    <row r="7" spans="2:12" x14ac:dyDescent="0.25">
      <c r="D7" t="s">
        <v>50</v>
      </c>
    </row>
    <row r="9" spans="2:12" x14ac:dyDescent="0.25"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25</v>
      </c>
      <c r="J9" t="s">
        <v>26</v>
      </c>
      <c r="K9" t="s">
        <v>27</v>
      </c>
      <c r="L9" t="s">
        <v>28</v>
      </c>
    </row>
    <row r="10" spans="2:12" x14ac:dyDescent="0.25">
      <c r="B10" t="s">
        <v>10</v>
      </c>
      <c r="D10" t="s">
        <v>5</v>
      </c>
      <c r="E10">
        <v>5</v>
      </c>
      <c r="F10">
        <v>0</v>
      </c>
      <c r="G10">
        <v>1</v>
      </c>
      <c r="H10">
        <v>3</v>
      </c>
      <c r="I10">
        <f t="shared" ref="I10:I15" si="0">4+11</f>
        <v>15</v>
      </c>
      <c r="J10">
        <v>20</v>
      </c>
      <c r="K10">
        <v>0</v>
      </c>
      <c r="L10">
        <v>20</v>
      </c>
    </row>
    <row r="11" spans="2:12" x14ac:dyDescent="0.25">
      <c r="B11" t="s">
        <v>11</v>
      </c>
      <c r="D11" t="s">
        <v>6</v>
      </c>
      <c r="E11">
        <v>3</v>
      </c>
      <c r="F11">
        <v>1</v>
      </c>
      <c r="G11">
        <v>1</v>
      </c>
      <c r="H11">
        <v>4</v>
      </c>
      <c r="I11">
        <v>6</v>
      </c>
      <c r="J11">
        <v>10</v>
      </c>
      <c r="K11">
        <v>1</v>
      </c>
      <c r="L11">
        <v>9</v>
      </c>
    </row>
    <row r="12" spans="2:12" x14ac:dyDescent="0.25">
      <c r="B12" t="s">
        <v>12</v>
      </c>
      <c r="D12" t="s">
        <v>7</v>
      </c>
      <c r="E12">
        <v>8</v>
      </c>
      <c r="F12">
        <v>2</v>
      </c>
      <c r="G12">
        <v>2</v>
      </c>
      <c r="H12">
        <v>2</v>
      </c>
      <c r="I12">
        <v>14</v>
      </c>
      <c r="J12">
        <v>24</v>
      </c>
      <c r="K12">
        <v>2</v>
      </c>
      <c r="L12">
        <v>22</v>
      </c>
    </row>
    <row r="13" spans="2:12" x14ac:dyDescent="0.25">
      <c r="B13" t="s">
        <v>13</v>
      </c>
      <c r="D13" t="s">
        <v>8</v>
      </c>
      <c r="E13">
        <v>6</v>
      </c>
      <c r="F13">
        <v>3</v>
      </c>
      <c r="G13">
        <v>2</v>
      </c>
      <c r="H13">
        <v>5</v>
      </c>
      <c r="I13">
        <v>17</v>
      </c>
      <c r="J13">
        <v>26</v>
      </c>
      <c r="K13">
        <v>3</v>
      </c>
      <c r="L13">
        <v>23</v>
      </c>
    </row>
    <row r="14" spans="2:12" x14ac:dyDescent="0.25">
      <c r="D14" t="s">
        <v>9</v>
      </c>
      <c r="E14">
        <v>4</v>
      </c>
      <c r="F14">
        <v>4</v>
      </c>
      <c r="G14">
        <v>3</v>
      </c>
      <c r="H14">
        <v>1</v>
      </c>
      <c r="I14">
        <v>11</v>
      </c>
      <c r="J14">
        <v>19</v>
      </c>
      <c r="K14">
        <v>4</v>
      </c>
      <c r="L14">
        <v>15</v>
      </c>
    </row>
    <row r="15" spans="2:12" x14ac:dyDescent="0.25">
      <c r="D15" t="s">
        <v>29</v>
      </c>
      <c r="E15">
        <f>(E10+E11+E12+E13+E14)</f>
        <v>26</v>
      </c>
      <c r="I15">
        <f>AVERAGE(I10:I14)</f>
        <v>12.6</v>
      </c>
      <c r="J15">
        <f>AVERAGE(J10:J14)</f>
        <v>19.8</v>
      </c>
      <c r="K15">
        <f>AVERAGE(K10:K14)</f>
        <v>2</v>
      </c>
      <c r="L15">
        <f>AVERAGE(L10:L14)</f>
        <v>17.8</v>
      </c>
    </row>
    <row r="17" spans="2:13" x14ac:dyDescent="0.25">
      <c r="D17" s="4" t="s">
        <v>52</v>
      </c>
      <c r="E17" s="4"/>
      <c r="F17" s="4"/>
      <c r="G17" s="4"/>
      <c r="H17" s="4"/>
      <c r="I17" s="4" t="s">
        <v>53</v>
      </c>
      <c r="J17" s="4"/>
      <c r="K17" s="4"/>
      <c r="L17" s="4"/>
      <c r="M17" s="4"/>
    </row>
    <row r="18" spans="2:13" x14ac:dyDescent="0.25">
      <c r="D18" t="s">
        <v>5</v>
      </c>
      <c r="E18" t="s">
        <v>6</v>
      </c>
      <c r="F18" t="s">
        <v>7</v>
      </c>
      <c r="G18" t="s">
        <v>8</v>
      </c>
      <c r="H18" t="s">
        <v>9</v>
      </c>
      <c r="I18" t="s">
        <v>5</v>
      </c>
      <c r="J18" t="s">
        <v>6</v>
      </c>
      <c r="K18" t="s">
        <v>7</v>
      </c>
      <c r="L18" t="s">
        <v>8</v>
      </c>
      <c r="M18" t="s">
        <v>9</v>
      </c>
    </row>
    <row r="19" spans="2:13" x14ac:dyDescent="0.25">
      <c r="D19" s="2" t="s">
        <v>14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21</v>
      </c>
      <c r="L19" s="2" t="s">
        <v>22</v>
      </c>
      <c r="M19" s="2" t="s">
        <v>23</v>
      </c>
    </row>
    <row r="20" spans="2:13" x14ac:dyDescent="0.25">
      <c r="D20" s="4" t="s">
        <v>54</v>
      </c>
      <c r="E20" s="4"/>
      <c r="F20" s="4"/>
    </row>
    <row r="21" spans="2:13" x14ac:dyDescent="0.25">
      <c r="D21" t="s">
        <v>5</v>
      </c>
      <c r="E21" t="s">
        <v>7</v>
      </c>
      <c r="F21" t="s">
        <v>8</v>
      </c>
    </row>
    <row r="22" spans="2:13" x14ac:dyDescent="0.25">
      <c r="D22" t="s">
        <v>24</v>
      </c>
      <c r="E22" t="s">
        <v>30</v>
      </c>
      <c r="F22" t="s">
        <v>31</v>
      </c>
    </row>
    <row r="24" spans="2:13" x14ac:dyDescent="0.25">
      <c r="D24" t="s">
        <v>51</v>
      </c>
    </row>
    <row r="26" spans="2:13" x14ac:dyDescent="0.25"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25</v>
      </c>
      <c r="J26" t="s">
        <v>26</v>
      </c>
      <c r="K26" t="s">
        <v>27</v>
      </c>
      <c r="L26" t="s">
        <v>28</v>
      </c>
    </row>
    <row r="27" spans="2:13" x14ac:dyDescent="0.25">
      <c r="B27" t="s">
        <v>37</v>
      </c>
      <c r="D27" t="s">
        <v>32</v>
      </c>
      <c r="E27">
        <v>7</v>
      </c>
      <c r="F27">
        <v>0</v>
      </c>
      <c r="G27">
        <v>1</v>
      </c>
      <c r="H27">
        <v>3</v>
      </c>
      <c r="I27">
        <v>19</v>
      </c>
      <c r="J27">
        <v>26</v>
      </c>
      <c r="K27">
        <v>0</v>
      </c>
      <c r="L27">
        <f>Tabla13[[#This Row],[CT]]-Tabla13[[#This Row],[AT]]</f>
        <v>26</v>
      </c>
    </row>
    <row r="28" spans="2:13" x14ac:dyDescent="0.25">
      <c r="B28" t="s">
        <v>38</v>
      </c>
      <c r="D28" t="s">
        <v>33</v>
      </c>
      <c r="E28">
        <v>4</v>
      </c>
      <c r="F28">
        <v>5</v>
      </c>
      <c r="G28">
        <v>1</v>
      </c>
      <c r="H28">
        <v>5</v>
      </c>
      <c r="I28" s="1">
        <v>12</v>
      </c>
      <c r="J28">
        <v>21</v>
      </c>
      <c r="K28">
        <v>6</v>
      </c>
      <c r="L28">
        <f>Tabla13[[#This Row],[CT]]-Tabla13[[#This Row],[AT]]</f>
        <v>16</v>
      </c>
    </row>
    <row r="29" spans="2:13" x14ac:dyDescent="0.25">
      <c r="B29" t="s">
        <v>39</v>
      </c>
      <c r="D29" t="s">
        <v>34</v>
      </c>
      <c r="E29">
        <v>10</v>
      </c>
      <c r="F29">
        <v>4</v>
      </c>
      <c r="G29">
        <v>2</v>
      </c>
      <c r="H29">
        <v>2</v>
      </c>
      <c r="I29">
        <v>18</v>
      </c>
      <c r="J29">
        <v>32</v>
      </c>
      <c r="K29">
        <v>4</v>
      </c>
      <c r="L29">
        <f>Tabla13[[#This Row],[CT]]-Tabla13[[#This Row],[AT]]</f>
        <v>28</v>
      </c>
    </row>
    <row r="30" spans="2:13" x14ac:dyDescent="0.25">
      <c r="B30" t="s">
        <v>40</v>
      </c>
      <c r="D30" t="s">
        <v>35</v>
      </c>
      <c r="E30">
        <v>5</v>
      </c>
      <c r="F30">
        <v>5</v>
      </c>
      <c r="G30">
        <v>2</v>
      </c>
      <c r="H30">
        <v>4</v>
      </c>
      <c r="I30">
        <v>14</v>
      </c>
      <c r="J30">
        <v>24</v>
      </c>
      <c r="K30">
        <v>8</v>
      </c>
      <c r="L30">
        <f>Tabla13[[#This Row],[CT]]-Tabla13[[#This Row],[AT]]</f>
        <v>19</v>
      </c>
    </row>
    <row r="31" spans="2:13" x14ac:dyDescent="0.25">
      <c r="D31" t="s">
        <v>36</v>
      </c>
      <c r="E31">
        <v>6</v>
      </c>
      <c r="F31">
        <v>1</v>
      </c>
      <c r="G31">
        <v>3</v>
      </c>
      <c r="H31">
        <v>1</v>
      </c>
      <c r="I31">
        <v>20</v>
      </c>
      <c r="J31">
        <v>27</v>
      </c>
      <c r="K31">
        <v>2</v>
      </c>
      <c r="L31">
        <f>Tabla13[[#This Row],[CT]]-Tabla13[[#This Row],[AT]]</f>
        <v>26</v>
      </c>
    </row>
    <row r="32" spans="2:13" x14ac:dyDescent="0.25">
      <c r="B32" s="3"/>
      <c r="C32" s="3"/>
      <c r="D32" t="s">
        <v>29</v>
      </c>
      <c r="E32">
        <f>(E27+E28+E29+E30+E31)</f>
        <v>32</v>
      </c>
      <c r="I32">
        <f>AVERAGE(I27:I31)</f>
        <v>16.600000000000001</v>
      </c>
      <c r="J32">
        <f>AVERAGE(J27:J31)</f>
        <v>26</v>
      </c>
      <c r="K32">
        <f>AVERAGE(K27:K31)</f>
        <v>4</v>
      </c>
      <c r="L32">
        <f>AVERAGE(L27:L31)</f>
        <v>23</v>
      </c>
    </row>
    <row r="33" spans="2:12" x14ac:dyDescent="0.25">
      <c r="B33" s="3"/>
      <c r="C33" s="3"/>
    </row>
    <row r="34" spans="2:12" x14ac:dyDescent="0.25">
      <c r="B34" s="3"/>
      <c r="C34" s="3"/>
      <c r="D34" s="4" t="s">
        <v>52</v>
      </c>
      <c r="E34" s="4"/>
      <c r="F34" s="4"/>
      <c r="G34" s="4"/>
      <c r="H34" s="4"/>
      <c r="I34" s="4" t="s">
        <v>53</v>
      </c>
      <c r="J34" s="4"/>
      <c r="K34" s="4"/>
      <c r="L34" s="4"/>
    </row>
    <row r="35" spans="2:12" x14ac:dyDescent="0.25">
      <c r="B35" s="3"/>
      <c r="C35" s="3"/>
      <c r="D35" t="s">
        <v>32</v>
      </c>
      <c r="E35" t="s">
        <v>36</v>
      </c>
      <c r="F35" t="s">
        <v>34</v>
      </c>
      <c r="G35" t="s">
        <v>33</v>
      </c>
      <c r="H35" t="s">
        <v>35</v>
      </c>
      <c r="I35" t="s">
        <v>32</v>
      </c>
      <c r="J35" t="s">
        <v>36</v>
      </c>
      <c r="K35" t="s">
        <v>34</v>
      </c>
      <c r="L35" t="s">
        <v>33</v>
      </c>
    </row>
    <row r="36" spans="2:12" x14ac:dyDescent="0.25">
      <c r="B36" s="3"/>
      <c r="C36" s="3"/>
      <c r="D36" t="s">
        <v>41</v>
      </c>
      <c r="E36" s="2" t="s">
        <v>42</v>
      </c>
      <c r="F36" s="2" t="s">
        <v>43</v>
      </c>
      <c r="G36" s="2" t="s">
        <v>44</v>
      </c>
      <c r="H36" s="2" t="s">
        <v>20</v>
      </c>
      <c r="I36" s="2" t="s">
        <v>21</v>
      </c>
      <c r="J36" s="2" t="s">
        <v>22</v>
      </c>
      <c r="K36" s="2" t="s">
        <v>23</v>
      </c>
      <c r="L36" s="2" t="s">
        <v>45</v>
      </c>
    </row>
    <row r="37" spans="2:12" x14ac:dyDescent="0.25">
      <c r="D37" t="s">
        <v>53</v>
      </c>
      <c r="E37" s="4" t="s">
        <v>54</v>
      </c>
      <c r="F37" s="4"/>
      <c r="G37" s="4"/>
      <c r="H37" t="s">
        <v>55</v>
      </c>
    </row>
    <row r="38" spans="2:12" x14ac:dyDescent="0.25">
      <c r="D38" t="s">
        <v>35</v>
      </c>
      <c r="E38" t="s">
        <v>32</v>
      </c>
      <c r="F38" t="s">
        <v>36</v>
      </c>
      <c r="G38" t="s">
        <v>34</v>
      </c>
      <c r="H38" t="s">
        <v>34</v>
      </c>
    </row>
    <row r="39" spans="2:12" x14ac:dyDescent="0.25">
      <c r="D39" t="s">
        <v>46</v>
      </c>
      <c r="E39" t="s">
        <v>31</v>
      </c>
      <c r="F39" t="s">
        <v>47</v>
      </c>
      <c r="G39" t="s">
        <v>48</v>
      </c>
      <c r="H39" t="s">
        <v>49</v>
      </c>
    </row>
    <row r="44" spans="2:12" x14ac:dyDescent="0.25">
      <c r="I44" s="1"/>
    </row>
  </sheetData>
  <mergeCells count="6">
    <mergeCell ref="D34:H34"/>
    <mergeCell ref="I34:L34"/>
    <mergeCell ref="E37:G37"/>
    <mergeCell ref="D17:H17"/>
    <mergeCell ref="I17:M17"/>
    <mergeCell ref="D20:F20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626B-6E33-4591-9263-27B922B62CF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MONROY ARISTIZABAL</dc:creator>
  <cp:lastModifiedBy>MATEO MONROY ARISTIZABAL</cp:lastModifiedBy>
  <dcterms:created xsi:type="dcterms:W3CDTF">2026-03-20T22:28:43Z</dcterms:created>
  <dcterms:modified xsi:type="dcterms:W3CDTF">2026-03-20T23:43:38Z</dcterms:modified>
</cp:coreProperties>
</file>